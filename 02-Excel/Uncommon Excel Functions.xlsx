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-AI\DataAnalyst\DataAnalyst_Portfolio\02-Excel\"/>
    </mc:Choice>
  </mc:AlternateContent>
  <xr:revisionPtr revIDLastSave="0" documentId="8_{F406FDA7-8609-4F72-B40E-786FD7F2373E}" xr6:coauthVersionLast="47" xr6:coauthVersionMax="47" xr10:uidLastSave="{00000000-0000-0000-0000-000000000000}"/>
  <bookViews>
    <workbookView xWindow="390" yWindow="390" windowWidth="21750" windowHeight="13890" xr2:uid="{F40D0D0E-50EB-44A6-8777-284280D2A7CC}"/>
  </bookViews>
  <sheets>
    <sheet name="PMT" sheetId="1" r:id="rId1"/>
    <sheet name="FormulaText" sheetId="2" r:id="rId2"/>
    <sheet name="LET" sheetId="3" r:id="rId3"/>
    <sheet name="Hyperlink" sheetId="4" r:id="rId4"/>
    <sheet name="EOMONT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 a="1"/>
  <c r="C12" i="2" s="1"/>
  <c r="P6" i="2" a="1"/>
  <c r="P6" i="2" s="1"/>
  <c r="O6" i="2" a="1"/>
  <c r="D22" i="2" s="1"/>
  <c r="O6" i="2" l="1"/>
  <c r="D17" i="2" s="1"/>
  <c r="D18" i="2"/>
  <c r="D19" i="2"/>
  <c r="D20" i="2"/>
  <c r="D21" i="2"/>
  <c r="N12" i="2"/>
  <c r="M12" i="2"/>
  <c r="L12" i="2"/>
  <c r="K12" i="2"/>
  <c r="J12" i="2"/>
  <c r="I12" i="2"/>
  <c r="H12" i="2"/>
  <c r="G12" i="2"/>
  <c r="F12" i="2"/>
  <c r="E12" i="2"/>
  <c r="D12" i="2"/>
  <c r="P11" i="2"/>
  <c r="P10" i="2"/>
  <c r="P9" i="2"/>
  <c r="P8" i="2"/>
  <c r="P7" i="2"/>
  <c r="O11" i="2"/>
  <c r="O10" i="2"/>
  <c r="O9" i="2"/>
  <c r="O8" i="2"/>
  <c r="O7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<sst xmlns="http://schemas.openxmlformats.org/spreadsheetml/2006/main" count="50" uniqueCount="44">
  <si>
    <t>Loan ID</t>
  </si>
  <si>
    <t>Loan Amount</t>
  </si>
  <si>
    <t>Annual Interest Rate</t>
  </si>
  <si>
    <t>Term (Years)</t>
  </si>
  <si>
    <t>Monthly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</si>
  <si>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</si>
  <si>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</si>
  <si>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</si>
  <si>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</si>
  <si>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</si>
  <si>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</si>
  <si>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</si>
  <si>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</si>
  <si>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</si>
  <si>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</si>
  <si>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</si>
  <si>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</si>
  <si>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Sales Per Product</t>
  </si>
  <si>
    <t>SAT Prep High School Book</t>
  </si>
  <si>
    <t>SAT Prep Middle School Book</t>
  </si>
  <si>
    <t>SAT Personal Tutoring Session</t>
  </si>
  <si>
    <t>Ace The SAT Bootcamp</t>
  </si>
  <si>
    <t>College Admission Counseling</t>
  </si>
  <si>
    <t>SAT Test Booklet</t>
  </si>
  <si>
    <t>Total Products Sold</t>
  </si>
  <si>
    <t>Product</t>
  </si>
  <si>
    <t>Revenue</t>
  </si>
  <si>
    <t>Salesperson</t>
  </si>
  <si>
    <t>Region</t>
  </si>
  <si>
    <t>Sales</t>
  </si>
  <si>
    <t>Bonus</t>
  </si>
  <si>
    <t>John Doe</t>
  </si>
  <si>
    <t>North</t>
  </si>
  <si>
    <t>Jane Smith</t>
  </si>
  <si>
    <t>South</t>
  </si>
  <si>
    <t>Bob Johnson</t>
  </si>
  <si>
    <t>East</t>
  </si>
  <si>
    <t>Alice Brown</t>
  </si>
  <si>
    <t>West</t>
  </si>
  <si>
    <t>Start Date</t>
  </si>
  <si>
    <t>Months to Offset</t>
  </si>
  <si>
    <t>Last Day of the Month</t>
  </si>
  <si>
    <t>https://www.AnalystBuilder.com</t>
  </si>
  <si>
    <t>Complex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</si>
</sst>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7"/>
      <color rgb="FFFFFFFF"/>
      <name val="Courier New"/>
      <family val="3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6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8" fontId="0" fillId="0" borderId="0" xfId="0" applyNumberFormat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2" fillId="0" borderId="0" xfId="0" applyFont="1"/>
    <xf numFmtId="0" fontId="3" fillId="0" borderId="0" xfId="1"/>
    <xf numFmtId="14" fontId="0" fillId="0" borderId="0" xfId="0" applyNumberFormat="1"/>
    <xf numFmtId="14" fontId="0" fillId="3" borderId="0" xfId="0" applyNumberFormat="1" applyFill="1"/>
    <xf numFmtId="1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alystbuil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20E4-ADF5-433A-B559-49440E23D4AA}">
  <dimension ref="A1:E6"/>
  <sheetViews>
    <sheetView tabSelected="1" zoomScale="120" zoomScaleNormal="120" workbookViewId="0">
      <selection activeCell="E8" sqref="E8"/>
    </sheetView>
  </sheetViews>
  <sheetFormatPr defaultColWidth="14.125" defaultRowHeight="14.25" x14ac:dyDescent="0.2"/>
  <cols>
    <col min="3" max="3" width="17.25" bestFit="1" customWidth="1"/>
    <col min="5" max="5" width="16.87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</row>
    <row r="2" spans="1:5" x14ac:dyDescent="0.2">
      <c r="A2">
        <v>1001</v>
      </c>
      <c r="B2" s="1">
        <v>25000</v>
      </c>
      <c r="C2" s="2">
        <v>0.05</v>
      </c>
      <c r="D2">
        <v>5</v>
      </c>
      <c r="E2" s="5"/>
    </row>
    <row r="3" spans="1:5" x14ac:dyDescent="0.2">
      <c r="A3">
        <v>1002</v>
      </c>
      <c r="B3" s="1">
        <v>15000</v>
      </c>
      <c r="C3" s="2">
        <v>0.04</v>
      </c>
      <c r="D3">
        <v>3</v>
      </c>
      <c r="E3" s="5"/>
    </row>
    <row r="4" spans="1:5" x14ac:dyDescent="0.2">
      <c r="A4">
        <v>1003</v>
      </c>
      <c r="B4" s="1">
        <v>50000</v>
      </c>
      <c r="C4" s="2">
        <v>0.06</v>
      </c>
      <c r="D4">
        <v>10</v>
      </c>
      <c r="E4" s="5"/>
    </row>
    <row r="5" spans="1:5" x14ac:dyDescent="0.2">
      <c r="A5">
        <v>1004</v>
      </c>
      <c r="B5" s="1">
        <v>35000</v>
      </c>
      <c r="C5" s="3">
        <v>3.5000000000000003E-2</v>
      </c>
      <c r="D5">
        <v>7</v>
      </c>
      <c r="E5" s="5"/>
    </row>
    <row r="6" spans="1:5" x14ac:dyDescent="0.2">
      <c r="A6">
        <v>1005</v>
      </c>
      <c r="B6" s="1">
        <v>10000</v>
      </c>
      <c r="C6" s="2">
        <v>7.0000000000000007E-2</v>
      </c>
      <c r="D6">
        <v>2</v>
      </c>
      <c r="E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9E96-79C7-47CE-AAE6-D40319FE73CA}">
  <dimension ref="B5:P22"/>
  <sheetViews>
    <sheetView topLeftCell="K2" zoomScale="108" workbookViewId="0">
      <selection activeCell="Q12" sqref="Q12"/>
    </sheetView>
  </sheetViews>
  <sheetFormatPr defaultRowHeight="14.25" x14ac:dyDescent="0.2"/>
  <cols>
    <col min="15" max="15" width="23.125" customWidth="1"/>
    <col min="16" max="16" width="18.5" customWidth="1"/>
    <col min="17" max="17" width="113.875" bestFit="1" customWidth="1"/>
  </cols>
  <sheetData>
    <row r="5" spans="2:16" x14ac:dyDescent="0.2"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7" t="s">
        <v>17</v>
      </c>
      <c r="P5" s="7" t="s">
        <v>43</v>
      </c>
    </row>
    <row r="6" spans="2:16" x14ac:dyDescent="0.2">
      <c r="B6" s="8" t="s">
        <v>18</v>
      </c>
      <c r="C6">
        <v>439</v>
      </c>
      <c r="D6">
        <v>114</v>
      </c>
      <c r="E6">
        <v>524</v>
      </c>
      <c r="F6">
        <v>240</v>
      </c>
      <c r="G6">
        <v>636</v>
      </c>
      <c r="H6">
        <v>766</v>
      </c>
      <c r="I6">
        <v>519</v>
      </c>
      <c r="J6">
        <v>733</v>
      </c>
      <c r="K6">
        <v>994</v>
      </c>
      <c r="L6">
        <v>355</v>
      </c>
      <c r="M6">
        <v>995</v>
      </c>
      <c r="N6">
        <v>140</v>
      </c>
      <c r="O6" cm="1">
        <f t="array" ref="O6:O11">_xlfn.BYROW(C6:N11,_xlfn.LAMBDA(_xlpm.maths,SUM(_xlpm.maths)))</f>
        <v>6455</v>
      </c>
      <c r="P6" cm="1">
        <f t="array" ref="P6:P11">_xlfn.BYROW(C6:N11, _xlfn.LAMBDA(_xlpm.row, SUM(_xlpm.row) * _xlfn.XLOOKUP(INDEX($B$6:$B$11, ROW(_xlpm.row) - ROW($C$6) + 1), $B$17:$B$22, $C$17:$C$22, 0)))</f>
        <v>774600</v>
      </c>
    </row>
    <row r="7" spans="2:16" x14ac:dyDescent="0.2">
      <c r="B7" s="8" t="s">
        <v>19</v>
      </c>
      <c r="C7">
        <v>154</v>
      </c>
      <c r="D7">
        <v>248</v>
      </c>
      <c r="E7">
        <v>194</v>
      </c>
      <c r="F7">
        <v>244</v>
      </c>
      <c r="G7">
        <v>91</v>
      </c>
      <c r="H7">
        <v>103</v>
      </c>
      <c r="I7">
        <v>237</v>
      </c>
      <c r="J7">
        <v>67</v>
      </c>
      <c r="K7">
        <v>307</v>
      </c>
      <c r="L7">
        <v>98</v>
      </c>
      <c r="M7">
        <v>97</v>
      </c>
      <c r="N7">
        <v>153</v>
      </c>
      <c r="O7">
        <v>1993</v>
      </c>
      <c r="P7">
        <v>169405</v>
      </c>
    </row>
    <row r="8" spans="2:16" x14ac:dyDescent="0.2">
      <c r="B8" s="8" t="s">
        <v>20</v>
      </c>
      <c r="C8">
        <v>88</v>
      </c>
      <c r="D8">
        <v>95</v>
      </c>
      <c r="E8">
        <v>100</v>
      </c>
      <c r="F8">
        <v>89</v>
      </c>
      <c r="G8">
        <v>20</v>
      </c>
      <c r="H8">
        <v>62</v>
      </c>
      <c r="I8">
        <v>10</v>
      </c>
      <c r="J8">
        <v>47</v>
      </c>
      <c r="K8">
        <v>16</v>
      </c>
      <c r="L8">
        <v>31</v>
      </c>
      <c r="M8">
        <v>13</v>
      </c>
      <c r="N8">
        <v>13</v>
      </c>
      <c r="O8">
        <v>584</v>
      </c>
      <c r="P8">
        <v>116800</v>
      </c>
    </row>
    <row r="9" spans="2:16" x14ac:dyDescent="0.2">
      <c r="B9" s="8" t="s">
        <v>21</v>
      </c>
      <c r="C9">
        <v>376</v>
      </c>
      <c r="D9">
        <v>239</v>
      </c>
      <c r="E9">
        <v>291</v>
      </c>
      <c r="F9">
        <v>246</v>
      </c>
      <c r="G9">
        <v>288</v>
      </c>
      <c r="H9">
        <v>176</v>
      </c>
      <c r="I9">
        <v>316</v>
      </c>
      <c r="J9">
        <v>140</v>
      </c>
      <c r="K9">
        <v>208</v>
      </c>
      <c r="L9">
        <v>386</v>
      </c>
      <c r="M9">
        <v>347</v>
      </c>
      <c r="N9">
        <v>289</v>
      </c>
      <c r="O9">
        <v>3302</v>
      </c>
      <c r="P9">
        <v>6604000</v>
      </c>
    </row>
    <row r="10" spans="2:16" x14ac:dyDescent="0.2">
      <c r="B10" s="8" t="s">
        <v>22</v>
      </c>
      <c r="C10">
        <v>12</v>
      </c>
      <c r="D10">
        <v>5</v>
      </c>
      <c r="E10">
        <v>2</v>
      </c>
      <c r="F10">
        <v>3</v>
      </c>
      <c r="G10">
        <v>2</v>
      </c>
      <c r="H10">
        <v>9</v>
      </c>
      <c r="I10">
        <v>2</v>
      </c>
      <c r="J10">
        <v>3</v>
      </c>
      <c r="K10">
        <v>23</v>
      </c>
      <c r="L10">
        <v>7</v>
      </c>
      <c r="M10">
        <v>6</v>
      </c>
      <c r="N10">
        <v>7</v>
      </c>
      <c r="O10">
        <v>81</v>
      </c>
      <c r="P10">
        <v>81000</v>
      </c>
    </row>
    <row r="11" spans="2:16" x14ac:dyDescent="0.2">
      <c r="B11" s="8" t="s">
        <v>23</v>
      </c>
      <c r="C11">
        <v>285</v>
      </c>
      <c r="D11">
        <v>480</v>
      </c>
      <c r="E11">
        <v>346</v>
      </c>
      <c r="F11">
        <v>1105</v>
      </c>
      <c r="G11">
        <v>1457</v>
      </c>
      <c r="H11">
        <v>1424</v>
      </c>
      <c r="I11">
        <v>1190</v>
      </c>
      <c r="J11">
        <v>1023</v>
      </c>
      <c r="K11">
        <v>1055</v>
      </c>
      <c r="L11">
        <v>530</v>
      </c>
      <c r="M11">
        <v>1022</v>
      </c>
      <c r="N11">
        <v>997</v>
      </c>
      <c r="O11">
        <v>10914</v>
      </c>
      <c r="P11">
        <v>2182800</v>
      </c>
    </row>
    <row r="12" spans="2:16" x14ac:dyDescent="0.2">
      <c r="B12" s="7" t="s">
        <v>24</v>
      </c>
      <c r="C12" cm="1">
        <f t="array" ref="C12:N12">_xlfn.BYCOL(C6:N11,_xlfn.LAMBDA(_xlpm.maths,SUM(_xlpm.maths)))</f>
        <v>1354</v>
      </c>
      <c r="D12">
        <v>1181</v>
      </c>
      <c r="E12">
        <v>1457</v>
      </c>
      <c r="F12">
        <v>1927</v>
      </c>
      <c r="G12">
        <v>2494</v>
      </c>
      <c r="H12">
        <v>2540</v>
      </c>
      <c r="I12">
        <v>2274</v>
      </c>
      <c r="J12">
        <v>2013</v>
      </c>
      <c r="K12">
        <v>2603</v>
      </c>
      <c r="L12">
        <v>1407</v>
      </c>
      <c r="M12">
        <v>2480</v>
      </c>
      <c r="N12">
        <v>1599</v>
      </c>
    </row>
    <row r="16" spans="2:16" x14ac:dyDescent="0.2">
      <c r="B16" s="4" t="s">
        <v>25</v>
      </c>
      <c r="C16" s="4" t="s">
        <v>26</v>
      </c>
    </row>
    <row r="17" spans="2:6" x14ac:dyDescent="0.2">
      <c r="B17" t="s">
        <v>18</v>
      </c>
      <c r="C17">
        <v>120</v>
      </c>
      <c r="D17">
        <f>O6*C17</f>
        <v>774600</v>
      </c>
      <c r="F17" s="9"/>
    </row>
    <row r="18" spans="2:6" x14ac:dyDescent="0.2">
      <c r="B18" t="s">
        <v>19</v>
      </c>
      <c r="C18">
        <v>85</v>
      </c>
      <c r="D18">
        <f t="shared" ref="D18:D22" si="0">O7*C18</f>
        <v>169405</v>
      </c>
      <c r="F18" s="9"/>
    </row>
    <row r="19" spans="2:6" x14ac:dyDescent="0.2">
      <c r="B19" t="s">
        <v>20</v>
      </c>
      <c r="C19">
        <v>200</v>
      </c>
      <c r="D19">
        <f t="shared" si="0"/>
        <v>116800</v>
      </c>
    </row>
    <row r="20" spans="2:6" x14ac:dyDescent="0.2">
      <c r="B20" t="s">
        <v>21</v>
      </c>
      <c r="C20">
        <v>2000</v>
      </c>
      <c r="D20">
        <f t="shared" si="0"/>
        <v>6604000</v>
      </c>
    </row>
    <row r="21" spans="2:6" x14ac:dyDescent="0.2">
      <c r="B21" t="s">
        <v>22</v>
      </c>
      <c r="C21">
        <v>1000</v>
      </c>
      <c r="D21">
        <f t="shared" si="0"/>
        <v>81000</v>
      </c>
    </row>
    <row r="22" spans="2:6" x14ac:dyDescent="0.2">
      <c r="B22" t="s">
        <v>23</v>
      </c>
      <c r="C22">
        <v>200</v>
      </c>
      <c r="D22">
        <f t="shared" si="0"/>
        <v>2182800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FEE7-F6CF-4A50-ABF4-A202B4363485}">
  <dimension ref="A1:D5"/>
  <sheetViews>
    <sheetView zoomScale="187" workbookViewId="0">
      <selection activeCell="D8" sqref="D8"/>
    </sheetView>
  </sheetViews>
  <sheetFormatPr defaultColWidth="13.625" defaultRowHeight="14.25" x14ac:dyDescent="0.2"/>
  <sheetData>
    <row r="1" spans="1:4" x14ac:dyDescent="0.2">
      <c r="A1" s="4" t="s">
        <v>27</v>
      </c>
      <c r="B1" s="4" t="s">
        <v>28</v>
      </c>
      <c r="C1" s="4" t="s">
        <v>29</v>
      </c>
      <c r="D1" s="6" t="s">
        <v>30</v>
      </c>
    </row>
    <row r="2" spans="1:4" x14ac:dyDescent="0.2">
      <c r="A2" t="s">
        <v>31</v>
      </c>
      <c r="B2" t="s">
        <v>32</v>
      </c>
      <c r="C2">
        <v>5000</v>
      </c>
    </row>
    <row r="3" spans="1:4" x14ac:dyDescent="0.2">
      <c r="A3" t="s">
        <v>33</v>
      </c>
      <c r="B3" t="s">
        <v>34</v>
      </c>
      <c r="C3">
        <v>7000</v>
      </c>
    </row>
    <row r="4" spans="1:4" x14ac:dyDescent="0.2">
      <c r="A4" t="s">
        <v>35</v>
      </c>
      <c r="B4" t="s">
        <v>36</v>
      </c>
      <c r="C4">
        <v>6000</v>
      </c>
    </row>
    <row r="5" spans="1:4" x14ac:dyDescent="0.2">
      <c r="A5" t="s">
        <v>37</v>
      </c>
      <c r="B5" t="s">
        <v>38</v>
      </c>
      <c r="C5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BAA7-6627-4B97-ADF7-6694AF7A890A}">
  <dimension ref="A1:G4"/>
  <sheetViews>
    <sheetView zoomScale="150" workbookViewId="0">
      <selection activeCell="B1" sqref="B1"/>
    </sheetView>
  </sheetViews>
  <sheetFormatPr defaultRowHeight="14.25" x14ac:dyDescent="0.2"/>
  <cols>
    <col min="1" max="1" width="27.875" customWidth="1"/>
    <col min="2" max="2" width="13.875" customWidth="1"/>
  </cols>
  <sheetData>
    <row r="1" spans="1:7" x14ac:dyDescent="0.2">
      <c r="A1" s="10" t="s">
        <v>42</v>
      </c>
      <c r="B1" s="10"/>
    </row>
    <row r="4" spans="1:7" x14ac:dyDescent="0.2">
      <c r="G4" s="10"/>
    </row>
  </sheetData>
  <hyperlinks>
    <hyperlink ref="A1" r:id="rId1" xr:uid="{EDC5FB0A-18CB-4904-BC0D-7E36C146165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CD33-DF6B-4126-9765-9EC657996EDD}">
  <dimension ref="A1:C5"/>
  <sheetViews>
    <sheetView zoomScale="188" workbookViewId="0">
      <selection activeCell="C9" sqref="C9"/>
    </sheetView>
  </sheetViews>
  <sheetFormatPr defaultRowHeight="14.25" x14ac:dyDescent="0.2"/>
  <cols>
    <col min="1" max="1" width="10.125" style="11" bestFit="1" customWidth="1"/>
    <col min="2" max="2" width="15.125" customWidth="1"/>
    <col min="3" max="3" width="19.625" style="11" customWidth="1"/>
  </cols>
  <sheetData>
    <row r="1" spans="1:3" x14ac:dyDescent="0.2">
      <c r="A1" s="13" t="s">
        <v>39</v>
      </c>
      <c r="B1" s="4" t="s">
        <v>40</v>
      </c>
      <c r="C1" s="12" t="s">
        <v>41</v>
      </c>
    </row>
    <row r="2" spans="1:3" x14ac:dyDescent="0.2">
      <c r="A2" s="11">
        <v>45292</v>
      </c>
      <c r="B2">
        <v>0</v>
      </c>
    </row>
    <row r="3" spans="1:3" x14ac:dyDescent="0.2">
      <c r="A3" s="11">
        <v>45366</v>
      </c>
      <c r="B3">
        <v>1</v>
      </c>
    </row>
    <row r="4" spans="1:3" x14ac:dyDescent="0.2">
      <c r="A4" s="11">
        <v>45463</v>
      </c>
      <c r="B4">
        <v>-1</v>
      </c>
    </row>
    <row r="5" spans="1:3" x14ac:dyDescent="0.2">
      <c r="A5" s="11">
        <v>45574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PMT</vt:lpstr>
      <vt:lpstr>FormulaText</vt:lpstr>
      <vt:lpstr>LET</vt:lpstr>
      <vt:lpstr>Hyperlink</vt:lpstr>
      <vt:lpstr>EOMONTH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2024-05-15T01:59:37Z</dcterms:created>
  <dcterms:modified xsi:type="dcterms:W3CDTF">2026-08-16T11:50:16Z</dcterms:modified>
</cp:coreProperties>
</file>